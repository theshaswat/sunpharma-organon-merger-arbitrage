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puts" sheetId="2" state="visible" r:id="rId2"/>
    <sheet xmlns:r="http://schemas.openxmlformats.org/officeDocument/2006/relationships" name="Cost of Capital" sheetId="3" state="visible" r:id="rId3"/>
    <sheet xmlns:r="http://schemas.openxmlformats.org/officeDocument/2006/relationships" name="DCF" sheetId="4" state="visible" r:id="rId4"/>
    <sheet xmlns:r="http://schemas.openxmlformats.org/officeDocument/2006/relationships" name="Sensitivity" sheetId="5" state="visible" r:id="rId5"/>
    <sheet xmlns:r="http://schemas.openxmlformats.org/officeDocument/2006/relationships" name="Reverse DCF" sheetId="6" state="visible" r:id="rId6"/>
    <sheet xmlns:r="http://schemas.openxmlformats.org/officeDocument/2006/relationships" name="Merger Arbitrage" sheetId="7" state="visible" r:id="rId7"/>
    <sheet xmlns:r="http://schemas.openxmlformats.org/officeDocument/2006/relationships" name="Derivatives" sheetId="8" state="visible" r:id="rId8"/>
  </sheets>
  <definedNames/>
  <calcPr calcId="191029" fullCalcOnLoad="1"/>
</workbook>
</file>

<file path=xl/styles.xml><?xml version="1.0" encoding="utf-8"?>
<styleSheet xmlns="http://schemas.openxmlformats.org/spreadsheetml/2006/main">
  <numFmts count="6">
    <numFmt numFmtId="164" formatCode="0.000"/>
    <numFmt numFmtId="165" formatCode="0.00&quot;x&quot;"/>
    <numFmt numFmtId="166" formatCode="0.0%"/>
    <numFmt numFmtId="167" formatCode="$0.00"/>
    <numFmt numFmtId="168" formatCode="0.0000"/>
    <numFmt numFmtId="169" formatCode="$0.0000"/>
  </numFmts>
  <fonts count="7">
    <font>
      <name val="Calibri"/>
      <family val="2"/>
      <color theme="1"/>
      <sz val="11"/>
      <scheme val="minor"/>
    </font>
    <font>
      <b val="1"/>
      <color rgb="001A3A5C"/>
      <sz val="14"/>
    </font>
    <font>
      <i val="1"/>
      <color rgb="007F7F7F"/>
      <sz val="9"/>
    </font>
    <font>
      <b val="1"/>
      <color rgb="00FFFFFF"/>
      <sz val="11"/>
    </font>
    <font>
      <b val="1"/>
      <sz val="10"/>
    </font>
    <font>
      <color rgb="001A3A5C"/>
    </font>
    <font>
      <b val="1"/>
      <color rgb="001A3A5C"/>
      <sz val="12"/>
    </font>
  </fonts>
  <fills count="4">
    <fill>
      <patternFill/>
    </fill>
    <fill>
      <patternFill patternType="gray125"/>
    </fill>
    <fill>
      <patternFill patternType="solid">
        <fgColor rgb="001A3A5C"/>
      </patternFill>
    </fill>
    <fill>
      <patternFill patternType="solid">
        <fgColor rgb="00FFF3CD"/>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0" pivotButton="0" quotePrefix="0" xfId="0"/>
    <xf numFmtId="0" fontId="4" fillId="0" borderId="0" pivotButton="0" quotePrefix="0" xfId="0"/>
    <xf numFmtId="10" fontId="5" fillId="0" borderId="0" pivotButton="0" quotePrefix="0" xfId="0"/>
    <xf numFmtId="164" fontId="5" fillId="0" borderId="0" pivotButton="0" quotePrefix="0" xfId="0"/>
    <xf numFmtId="3" fontId="5" fillId="0" borderId="0" pivotButton="0" quotePrefix="0" xfId="0"/>
    <xf numFmtId="165" fontId="5" fillId="0" borderId="0" pivotButton="0" quotePrefix="0" xfId="0"/>
    <xf numFmtId="166" fontId="5" fillId="0" borderId="0" pivotButton="0" quotePrefix="0" xfId="0"/>
    <xf numFmtId="10" fontId="0" fillId="3" borderId="0" pivotButton="0" quotePrefix="0" xfId="0"/>
    <xf numFmtId="10" fontId="0" fillId="0" borderId="0" pivotButton="0" quotePrefix="0" xfId="0"/>
    <xf numFmtId="3" fontId="0" fillId="0" borderId="0" pivotButton="0" quotePrefix="0" xfId="0"/>
    <xf numFmtId="3" fontId="4" fillId="0" borderId="0" pivotButton="0" quotePrefix="0" xfId="0"/>
    <xf numFmtId="166" fontId="0" fillId="0" borderId="0" pivotButton="0" quotePrefix="0" xfId="0"/>
    <xf numFmtId="167" fontId="4" fillId="0" borderId="0" pivotButton="0" quotePrefix="0" xfId="0"/>
    <xf numFmtId="166" fontId="4" fillId="0" borderId="0" pivotButton="0" quotePrefix="0" xfId="0"/>
    <xf numFmtId="10" fontId="4" fillId="0" borderId="0" pivotButton="0" quotePrefix="0" xfId="0"/>
    <xf numFmtId="167" fontId="5" fillId="0" borderId="0" pivotButton="0" quotePrefix="0" xfId="0"/>
    <xf numFmtId="3" fontId="2" fillId="0" borderId="0" pivotButton="0" quotePrefix="0" xfId="0"/>
    <xf numFmtId="10" fontId="2" fillId="0" borderId="0" pivotButton="0" quotePrefix="0" xfId="0"/>
    <xf numFmtId="166" fontId="0" fillId="3" borderId="0" pivotButton="0" quotePrefix="0" xfId="0"/>
    <xf numFmtId="164" fontId="0" fillId="3" borderId="0" pivotButton="0" quotePrefix="0" xfId="0"/>
    <xf numFmtId="9" fontId="0" fillId="3" borderId="0" pivotButton="0" quotePrefix="0" xfId="0"/>
    <xf numFmtId="168" fontId="5" fillId="0" borderId="0" pivotButton="0" quotePrefix="0" xfId="0"/>
    <xf numFmtId="169"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showGridLines="0" workbookViewId="0">
      <selection activeCell="A1" sqref="A1"/>
    </sheetView>
  </sheetViews>
  <sheetFormatPr baseColWidth="8" defaultRowHeight="15"/>
  <cols>
    <col width="78" customWidth="1" min="1" max="1"/>
    <col width="2" customWidth="1" min="2" max="2"/>
    <col width="16" customWidth="1" min="3" max="3"/>
  </cols>
  <sheetData>
    <row r="1" ht="22" customHeight="1">
      <c r="A1" s="1" t="inlineStr">
        <is>
          <t>Sun Pharma - Organon: Summary and Recommendation</t>
        </is>
      </c>
    </row>
    <row r="2">
      <c r="A2" s="2" t="inlineStr">
        <is>
          <t>Snapshot date 2026-08-06. See the companion notebooks (01-09) for full methodology and every intermediate step.</t>
        </is>
      </c>
    </row>
    <row r="3"/>
    <row r="4">
      <c r="A4" t="inlineStr"/>
    </row>
    <row r="5">
      <c r="A5" s="27" t="inlineStr">
        <is>
          <t>Deal</t>
        </is>
      </c>
    </row>
    <row r="6">
      <c r="A6" t="inlineStr">
        <is>
          <t>Sun Pharmaceutical Industries agreeing to acquire Organon &amp; Co for $14.00/share, all cash</t>
        </is>
      </c>
    </row>
    <row r="7">
      <c r="A7" t="inlineStr">
        <is>
          <t>(102.9% premium to the 9-Apr-2026 unaffected close). Announced 26-Apr-2026, shareholder</t>
        </is>
      </c>
    </row>
    <row r="8">
      <c r="A8" t="inlineStr">
        <is>
          <t>approval obtained 23-Jul-2026, expected close early 2027.</t>
        </is>
      </c>
    </row>
    <row r="9">
      <c r="A9" t="inlineStr"/>
    </row>
    <row r="10">
      <c r="A10" s="27" t="inlineStr">
        <is>
          <t>Is the price fair?</t>
        </is>
      </c>
    </row>
    <row r="11">
      <c r="A11" t="inlineStr">
        <is>
          <t>Standalone DCF value/share (market-cross-validated discount rate)</t>
        </is>
      </c>
      <c r="C11" s="19">
        <f>'DCF'!$B$32</f>
        <v>6.897697159623016</v>
      </c>
    </row>
    <row r="12">
      <c r="A12" t="inlineStr">
        <is>
          <t>Offer price</t>
        </is>
      </c>
      <c r="C12" s="19">
        <f>Inputs!$B$5</f>
        <v>14.0</v>
      </c>
    </row>
    <row r="13">
      <c r="A13" t="inlineStr">
        <is>
          <t>Revenue growth the offer requires (vs. actual -0.38% 2yr CAGR)</t>
        </is>
      </c>
      <c r="C13" s="6">
        <f>'Reverse DCF'!$B$4</f>
        <v>0.0387</v>
      </c>
    </row>
    <row r="14">
      <c r="A14" t="inlineStr">
        <is>
          <t>Implied synergy / growth premium (USD)</t>
        </is>
      </c>
      <c r="C14" s="8">
        <f>'Reverse DCF'!$B$30</f>
        <v>1862588638.233656</v>
      </c>
    </row>
    <row r="15">
      <c r="A15" t="inlineStr">
        <is>
          <t xml:space="preserve">  as % of standalone EV</t>
        </is>
      </c>
      <c r="C15" s="6">
        <f>'Reverse DCF'!$B$31</f>
        <v>0.18849440100874193</v>
      </c>
    </row>
    <row r="16">
      <c r="A16" t="inlineStr">
        <is>
          <t>Acquirer (Sun Pharma) CAR around announcement (-5,+5) - POSITIVE and significant: +9.6%, t=2.64 (source: notebook 05)</t>
        </is>
      </c>
    </row>
    <row r="17">
      <c r="A17" t="inlineStr">
        <is>
          <t>Verdict: not a simple overpay story, nor an obvious bargain - a real but plausible growth ask</t>
        </is>
      </c>
    </row>
    <row r="18">
      <c r="A18" t="inlineStr"/>
    </row>
    <row r="19">
      <c r="A19" s="27" t="inlineStr">
        <is>
          <t>Should the spread be traded today?</t>
        </is>
      </c>
    </row>
    <row r="20">
      <c r="A20" t="inlineStr">
        <is>
          <t>Gross spread</t>
        </is>
      </c>
      <c r="C20" s="6">
        <f>'Merger Arbitrage'!$B$6</f>
        <v>0.0316875460574797</v>
      </c>
    </row>
    <row r="21">
      <c r="A21" t="inlineStr">
        <is>
          <t>Spread-implied P(completion)</t>
        </is>
      </c>
      <c r="C21" s="6">
        <f>'Merger Arbitrage'!$B$13</f>
        <v>0.9394366197183099</v>
      </c>
    </row>
    <row r="22">
      <c r="A22" t="inlineStr">
        <is>
          <t>Breakeven P(completion)</t>
        </is>
      </c>
      <c r="C22" s="6">
        <f>'Merger Arbitrage'!$B$20</f>
        <v>0.9394366197183099</v>
      </c>
    </row>
    <row r="23">
      <c r="A23" t="inlineStr">
        <is>
          <t>Monte Carlo mean return - BELOW the risk-free rate (notebook 07)</t>
        </is>
      </c>
      <c r="C23" s="6">
        <f>'Merger Arbitrage'!$B$23</f>
        <v>-0.0104</v>
      </c>
    </row>
    <row r="24">
      <c r="A24" t="inlineStr">
        <is>
          <t>Max-Sharpe allocation to the arb position (vs. S&amp;P 500)</t>
        </is>
      </c>
      <c r="C24" s="6">
        <f>'Merger Arbitrage'!$B$28</f>
        <v>0.0</v>
      </c>
    </row>
    <row r="25">
      <c r="A25" t="inlineStr"/>
    </row>
    <row r="26">
      <c r="A26" s="27" t="inlineStr">
        <is>
          <t>Recommendation</t>
        </is>
      </c>
    </row>
    <row r="27">
      <c r="A27" t="inlineStr">
        <is>
          <t>PASS on the unhedged spread at today's price - conditional, not categorical.</t>
        </is>
      </c>
    </row>
    <row r="28">
      <c r="A28" t="inlineStr">
        <is>
          <t>The trade only clears a reasonable risk/reward bar if the true completion probability is</t>
        </is>
      </c>
    </row>
    <row r="29">
      <c r="A29" t="inlineStr">
        <is>
          <t>close to the market's own implied level rather than the more conservative Monte Carlo</t>
        </is>
      </c>
    </row>
    <row r="30">
      <c r="A30" t="inlineStr">
        <is>
          <t>assumption. Shareholder approval is already obtained and the acquirer's own stock reaction</t>
        </is>
      </c>
    </row>
    <row r="31">
      <c r="A31" t="inlineStr">
        <is>
          <t>was positive - both lean toward the more optimistic read. This project did NOT verify what</t>
        </is>
      </c>
    </row>
    <row r="32">
      <c r="A32" t="inlineStr">
        <is>
          <t>regulatory or other closing conditions remain outstanding as of the snapshot date - that gap</t>
        </is>
      </c>
    </row>
    <row r="33">
      <c r="A33" t="inlineStr">
        <is>
          <t>should be closed before sizing real capital against either probability estimate here.</t>
        </is>
      </c>
    </row>
    <row r="34">
      <c r="A34" t="inlineStr">
        <is>
          <t>If a position is taken, the correctly-priced hedge is a protective put at the pre-leak</t>
        </is>
      </c>
    </row>
    <row r="35">
      <c r="A35" t="inlineStr">
        <is>
          <t>volatility regime, not one calibrated to the deal-pinned volatility the market now quotes.</t>
        </is>
      </c>
    </row>
    <row r="36">
      <c r="A36" t="inlineStr">
        <is>
          <t>Put premium, K=$6.90, priced at pre-leak vol</t>
        </is>
      </c>
      <c r="C36" s="19">
        <f>Derivatives!$B$13</f>
        <v>0.07981740534888981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pane ySplit="3" topLeftCell="A4" activePane="bottomLeft" state="frozen"/>
      <selection pane="bottomLeft" activeCell="A1" sqref="A1"/>
    </sheetView>
  </sheetViews>
  <sheetFormatPr baseColWidth="8" defaultRowHeight="15" outlineLevelCol="0"/>
  <cols>
    <col width="42" customWidth="1" min="1" max="1"/>
    <col width="16" customWidth="1" min="2" max="2"/>
    <col width="62" customWidth="1" min="3" max="3"/>
  </cols>
  <sheetData>
    <row r="1" ht="22" customHeight="1">
      <c r="A1" s="1" t="inlineStr">
        <is>
          <t>Sun Pharma – Organon: Model Inputs</t>
        </is>
      </c>
    </row>
    <row r="2">
      <c r="A2" s="2" t="inlineStr">
        <is>
          <t>All cells in this tab are source data (SEC EDGAR / Yahoo Finance, snapshot 2026-08-06). Every other tab references these cells by formula - nothing downstream is a typed-in number.</t>
        </is>
      </c>
    </row>
    <row r="3"/>
    <row r="4">
      <c r="A4" s="3" t="inlineStr">
        <is>
          <t>Deal terms</t>
        </is>
      </c>
      <c r="B4" s="3" t="inlineStr">
        <is>
          <t>Value</t>
        </is>
      </c>
      <c r="C4" s="3" t="inlineStr">
        <is>
          <t>Source</t>
        </is>
      </c>
    </row>
    <row r="5">
      <c r="A5" t="inlineStr">
        <is>
          <t>Offer price (USD/share)</t>
        </is>
      </c>
      <c r="B5" s="4" t="n">
        <v>14</v>
      </c>
      <c r="C5" s="2" t="inlineStr">
        <is>
          <t>Organon 8-K Ex-99.1, filed 2026-04-27</t>
        </is>
      </c>
    </row>
    <row r="6">
      <c r="A6" t="inlineStr">
        <is>
          <t>Deal enterprise value (USD bn)</t>
        </is>
      </c>
      <c r="B6" s="4" t="n">
        <v>11.75</v>
      </c>
      <c r="C6" s="2" t="inlineStr">
        <is>
          <t>Organon 8-K Ex-99.1</t>
        </is>
      </c>
    </row>
    <row r="7">
      <c r="A7" t="inlineStr">
        <is>
          <t>Shares outstanding</t>
        </is>
      </c>
      <c r="B7" s="4" t="n">
        <v>262609433</v>
      </c>
      <c r="C7" s="2" t="inlineStr">
        <is>
          <t>Yahoo Finance, sharesOutstanding</t>
        </is>
      </c>
    </row>
    <row r="8">
      <c r="A8" t="inlineStr">
        <is>
          <t>Announcement date</t>
        </is>
      </c>
      <c r="B8" s="4" t="inlineStr">
        <is>
          <t>2026-04-26</t>
        </is>
      </c>
      <c r="C8" s="2" t="inlineStr">
        <is>
          <t>Organon 8-K Ex-99.1</t>
        </is>
      </c>
    </row>
    <row r="9">
      <c r="A9" t="inlineStr">
        <is>
          <t>Reference/leak date</t>
        </is>
      </c>
      <c r="B9" s="4" t="inlineStr">
        <is>
          <t>2026-01-16</t>
        </is>
      </c>
      <c r="C9" s="2" t="inlineStr">
        <is>
          <t>Organon 8-K Ex-99.1 ("before news of takeover interest emerged")</t>
        </is>
      </c>
    </row>
    <row r="10">
      <c r="A10" t="inlineStr">
        <is>
          <t>Unaffected date</t>
        </is>
      </c>
      <c r="B10" s="4" t="inlineStr">
        <is>
          <t>2026-04-09</t>
        </is>
      </c>
      <c r="C10" s="2" t="inlineStr">
        <is>
          <t>Organon 8-K Ex-99.1</t>
        </is>
      </c>
    </row>
    <row r="11">
      <c r="A11" t="inlineStr">
        <is>
          <t>Shareholder approval date</t>
        </is>
      </c>
      <c r="B11" s="4" t="inlineStr">
        <is>
          <t>2026-07-23</t>
        </is>
      </c>
      <c r="C11" s="2" t="inlineStr">
        <is>
          <t>SEC DEFA14A filings</t>
        </is>
      </c>
    </row>
    <row r="12"/>
    <row r="13">
      <c r="A13" s="3" t="inlineStr">
        <is>
          <t>Market data (snapshot 2026-08-06)</t>
        </is>
      </c>
      <c r="B13" s="3" t="inlineStr">
        <is>
          <t>Value</t>
        </is>
      </c>
      <c r="C13" s="3" t="inlineStr">
        <is>
          <t>Source</t>
        </is>
      </c>
    </row>
    <row r="14">
      <c r="A14" t="inlineStr">
        <is>
          <t>OGN spot price (USD)</t>
        </is>
      </c>
      <c r="B14" s="4" t="n">
        <v>13.57</v>
      </c>
      <c r="C14" s="2" t="inlineStr">
        <is>
          <t>Yahoo Finance</t>
        </is>
      </c>
    </row>
    <row r="15">
      <c r="A15" t="inlineStr">
        <is>
          <t>OGN unaffected price (USD)</t>
        </is>
      </c>
      <c r="B15" s="4" t="n">
        <v>6.9</v>
      </c>
      <c r="C15" s="2" t="inlineStr">
        <is>
          <t>Yahoo Finance, close on unaffected date</t>
        </is>
      </c>
    </row>
    <row r="16">
      <c r="A16" t="inlineStr">
        <is>
          <t>OGN 16-Jan reference price (USD)</t>
        </is>
      </c>
      <c r="B16" s="4" t="n">
        <v>8.76</v>
      </c>
      <c r="C16" s="2" t="inlineStr">
        <is>
          <t>Yahoo Finance</t>
        </is>
      </c>
    </row>
    <row r="17">
      <c r="A17" t="inlineStr">
        <is>
          <t>10Y UST yield, unaffected date</t>
        </is>
      </c>
      <c r="B17" s="4" t="n">
        <v>0.04293</v>
      </c>
      <c r="C17" s="2" t="inlineStr">
        <is>
          <t>Yahoo Finance ^TNX</t>
        </is>
      </c>
    </row>
    <row r="18">
      <c r="A18" t="inlineStr">
        <is>
          <t>10Y UST yield, current</t>
        </is>
      </c>
      <c r="B18" s="4" t="n">
        <v>0.04617</v>
      </c>
      <c r="C18" s="2" t="inlineStr">
        <is>
          <t>Yahoo Finance ^TNX</t>
        </is>
      </c>
    </row>
    <row r="19">
      <c r="A19" t="inlineStr">
        <is>
          <t>Equity risk premium (US, implied)</t>
        </is>
      </c>
      <c r="B19" s="4" t="n">
        <v>0.0445</v>
      </c>
      <c r="C19" s="2" t="inlineStr">
        <is>
          <t>Damodaran, ERP 2026 edition, July 2026 update</t>
        </is>
      </c>
    </row>
    <row r="20">
      <c r="A20" t="inlineStr">
        <is>
          <t>OGN beta (pre-leak, 250d)</t>
        </is>
      </c>
      <c r="B20" s="4" t="n">
        <v>0.969</v>
      </c>
      <c r="C20" s="2" t="inlineStr">
        <is>
          <t>OLS regression vs S&amp;P 500, notebook 03</t>
        </is>
      </c>
    </row>
    <row r="21"/>
    <row r="22">
      <c r="A22" s="3" t="inlineStr">
        <is>
          <t>Organon FY2025 financials (USD)</t>
        </is>
      </c>
      <c r="B22" s="3" t="inlineStr">
        <is>
          <t>Value</t>
        </is>
      </c>
      <c r="C22" s="3" t="inlineStr">
        <is>
          <t>Source</t>
        </is>
      </c>
    </row>
    <row r="23">
      <c r="A23" t="inlineStr">
        <is>
          <t>Revenue</t>
        </is>
      </c>
      <c r="B23" s="4" t="n">
        <v>6216000000</v>
      </c>
      <c r="C23" s="2" t="inlineStr">
        <is>
          <t>SEC 10-K FY2025</t>
        </is>
      </c>
    </row>
    <row r="24">
      <c r="A24" t="inlineStr">
        <is>
          <t>EBIT</t>
        </is>
      </c>
      <c r="B24" s="4" t="n">
        <v>929000000</v>
      </c>
      <c r="C24" s="2" t="inlineStr">
        <is>
          <t>SEC 10-K FY2025</t>
        </is>
      </c>
    </row>
    <row r="25">
      <c r="A25" t="inlineStr">
        <is>
          <t>Normalized tax rate</t>
        </is>
      </c>
      <c r="B25" s="4" t="n">
        <v>0.21</v>
      </c>
      <c r="C25" s="2" t="inlineStr">
        <is>
          <t>Yahoo Finance, Tax Rate For Calcs</t>
        </is>
      </c>
    </row>
    <row r="26">
      <c r="A26" t="inlineStr">
        <is>
          <t>D&amp;A</t>
        </is>
      </c>
      <c r="B26" s="4" t="n">
        <v>361000000</v>
      </c>
      <c r="C26" s="2" t="inlineStr">
        <is>
          <t>SEC 10-K FY2025 cash flow statement</t>
        </is>
      </c>
    </row>
    <row r="27">
      <c r="A27" t="inlineStr">
        <is>
          <t>CapEx (negative)</t>
        </is>
      </c>
      <c r="B27" s="4" t="n">
        <v>-316000000</v>
      </c>
      <c r="C27" s="2" t="inlineStr">
        <is>
          <t>SEC 10-K FY2025 cash flow statement</t>
        </is>
      </c>
    </row>
    <row r="28">
      <c r="A28" t="inlineStr">
        <is>
          <t>Change in NWC (negative = use of cash)</t>
        </is>
      </c>
      <c r="B28" s="4" t="n">
        <v>-247000000</v>
      </c>
      <c r="C28" s="2" t="inlineStr">
        <is>
          <t>SEC 10-K FY2025 cash flow statement</t>
        </is>
      </c>
    </row>
    <row r="29">
      <c r="A29" t="inlineStr">
        <is>
          <t>Interest expense</t>
        </is>
      </c>
      <c r="B29" s="4" t="n">
        <v>504000000</v>
      </c>
      <c r="C29" s="2" t="inlineStr">
        <is>
          <t>SEC 10-K FY2025</t>
        </is>
      </c>
    </row>
    <row r="30">
      <c r="A30" t="inlineStr">
        <is>
          <t>Average total debt (FY24-FY25)</t>
        </is>
      </c>
      <c r="B30" s="4" t="n">
        <v>8762000000</v>
      </c>
      <c r="C30" s="2" t="inlineStr">
        <is>
          <t>SEC 10-K, FY2024 and FY2025 balance sheets</t>
        </is>
      </c>
    </row>
    <row r="31">
      <c r="A31" t="inlineStr">
        <is>
          <t>Net debt, FY2025 (debt - cash)</t>
        </is>
      </c>
      <c r="B31" s="4" t="n">
        <v>8070000000</v>
      </c>
      <c r="C31" s="2" t="inlineStr">
        <is>
          <t>SEC 10-K FY2025 balance sheet</t>
        </is>
      </c>
    </row>
    <row r="32">
      <c r="A32" t="inlineStr">
        <is>
          <t>Default spread, B3/B- synthetic rating</t>
        </is>
      </c>
      <c r="B32" s="4" t="n">
        <v>0.055</v>
      </c>
      <c r="C32" s="2" t="inlineStr">
        <is>
          <t>Damodaran, interest coverage to rating table (smaller firms)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pane ySplit="3" topLeftCell="A4" activePane="bottomLeft" state="frozen"/>
      <selection pane="bottomLeft" activeCell="A1" sqref="A1"/>
    </sheetView>
  </sheetViews>
  <sheetFormatPr baseColWidth="8" defaultRowHeight="15" outlineLevelCol="0"/>
  <cols>
    <col width="47" customWidth="1" min="1" max="1"/>
    <col width="18" customWidth="1" min="2" max="2"/>
    <col width="10" customWidth="1" min="3" max="3"/>
  </cols>
  <sheetData>
    <row r="1" ht="22" customHeight="1">
      <c r="A1" s="1" t="inlineStr">
        <is>
          <t>Cost of Equity, Cost of Debt, WACC</t>
        </is>
      </c>
    </row>
    <row r="2">
      <c r="A2" s="2" t="inlineStr">
        <is>
          <t>All formulas below reference the Inputs tab. Change any yellow input cell there and this tab recalculates.</t>
        </is>
      </c>
    </row>
    <row r="3"/>
    <row r="4">
      <c r="A4" s="5" t="inlineStr">
        <is>
          <t>Cost of equity (CAPM)</t>
        </is>
      </c>
    </row>
    <row r="5">
      <c r="A5" t="inlineStr">
        <is>
          <t>Risk-free rate (unaffected date)</t>
        </is>
      </c>
      <c r="B5" s="6">
        <f>Inputs!$B$17</f>
        <v>0.04293</v>
      </c>
    </row>
    <row r="6">
      <c r="A6" t="inlineStr">
        <is>
          <t>Beta (pre-leak)</t>
        </is>
      </c>
      <c r="B6" s="7">
        <f>Inputs!$B$20</f>
        <v>0.969</v>
      </c>
    </row>
    <row r="7">
      <c r="A7" t="inlineStr">
        <is>
          <t>Equity risk premium</t>
        </is>
      </c>
      <c r="B7" s="6">
        <f>Inputs!$B$19</f>
        <v>0.0445</v>
      </c>
    </row>
    <row r="8">
      <c r="A8" s="5" t="inlineStr">
        <is>
          <t>Cost of equity</t>
        </is>
      </c>
      <c r="B8" s="6">
        <f>B5+B6*B7</f>
        <v>0.0860505</v>
      </c>
    </row>
    <row r="9"/>
    <row r="10">
      <c r="A10" s="5" t="inlineStr">
        <is>
          <t>Cost of debt: embedded vs marginal</t>
        </is>
      </c>
    </row>
    <row r="11">
      <c r="A11" t="inlineStr">
        <is>
          <t>Interest expense (FY2025)</t>
        </is>
      </c>
      <c r="B11" s="8">
        <f>Inputs!$B$29</f>
        <v>504000000.0</v>
      </c>
    </row>
    <row r="12">
      <c r="A12" t="inlineStr">
        <is>
          <t>Average total debt</t>
        </is>
      </c>
      <c r="B12" s="8">
        <f>Inputs!$B$30</f>
        <v>8762000000.0</v>
      </c>
    </row>
    <row r="13">
      <c r="A13" t="inlineStr">
        <is>
          <t>Embedded pre-tax cost of debt</t>
        </is>
      </c>
      <c r="B13" s="6">
        <f>B11/B12</f>
        <v>0.05752111390093586</v>
      </c>
    </row>
    <row r="14">
      <c r="A14" t="inlineStr">
        <is>
          <t>Tax rate</t>
        </is>
      </c>
      <c r="B14" s="6">
        <f>Inputs!$B$25</f>
        <v>0.21</v>
      </c>
    </row>
    <row r="15">
      <c r="A15" s="5" t="inlineStr">
        <is>
          <t>Embedded after-tax cost of debt</t>
        </is>
      </c>
      <c r="B15" s="6">
        <f>B13*(1-B14)</f>
        <v>0.045441679981739334</v>
      </c>
    </row>
    <row r="16">
      <c r="A16" t="inlineStr">
        <is>
          <t>EBIT (FY2025)</t>
        </is>
      </c>
      <c r="B16" s="8">
        <f>Inputs!$B$24</f>
        <v>929000000.0</v>
      </c>
    </row>
    <row r="17">
      <c r="A17" t="inlineStr">
        <is>
          <t>Interest coverage = EBIT / interest exp.</t>
        </is>
      </c>
      <c r="B17" s="9">
        <f>B16/B11</f>
        <v>1.8432539682539681</v>
      </c>
    </row>
    <row r="18">
      <c r="A18" t="inlineStr">
        <is>
          <t>Default spread (synthetic rating, B3/B-)</t>
        </is>
      </c>
      <c r="B18" s="6">
        <f>Inputs!$B$32</f>
        <v>0.055</v>
      </c>
    </row>
    <row r="19">
      <c r="A19" t="inlineStr">
        <is>
          <t>Marginal pre-tax cost of debt</t>
        </is>
      </c>
      <c r="B19" s="6">
        <f>B5+B18</f>
        <v>0.09793</v>
      </c>
    </row>
    <row r="20">
      <c r="A20" s="5" t="inlineStr">
        <is>
          <t>Marginal after-tax cost of debt</t>
        </is>
      </c>
      <c r="B20" s="6">
        <f>B19*(1-B14)</f>
        <v>0.07736470000000001</v>
      </c>
    </row>
    <row r="21"/>
    <row r="22">
      <c r="A22" s="5" t="inlineStr">
        <is>
          <t>WACC</t>
        </is>
      </c>
    </row>
    <row r="23">
      <c r="A23" t="inlineStr">
        <is>
          <t>Market cap at unaffected price</t>
        </is>
      </c>
      <c r="B23" s="8">
        <f>Inputs!$B$15*Inputs!$B$7</f>
        <v>1812005087.7</v>
      </c>
    </row>
    <row r="24">
      <c r="A24" t="inlineStr">
        <is>
          <t>Net debt (FY2025)</t>
        </is>
      </c>
      <c r="B24" s="8">
        <f>Inputs!$B$31</f>
        <v>8070000000.0</v>
      </c>
    </row>
    <row r="25">
      <c r="A25" t="inlineStr">
        <is>
          <t>Equity weight</t>
        </is>
      </c>
      <c r="B25" s="10">
        <f>B23/(B23+B24)</f>
        <v>0.18336411200145794</v>
      </c>
    </row>
    <row r="26">
      <c r="A26" t="inlineStr">
        <is>
          <t>Debt weight</t>
        </is>
      </c>
      <c r="B26" s="10">
        <f>1-B25</f>
        <v>0.816635887998542</v>
      </c>
    </row>
    <row r="27">
      <c r="A27" t="inlineStr">
        <is>
          <t>WACC (embedded cost of debt)</t>
        </is>
      </c>
      <c r="B27" s="6">
        <f>B25*B8+B26*B15</f>
        <v>0.05288788020381473</v>
      </c>
    </row>
    <row r="28">
      <c r="A28" t="inlineStr">
        <is>
          <t>WACC (marginal/synthetic-rating cost of debt)</t>
        </is>
      </c>
      <c r="B28" s="6">
        <f>B25*B8+B26*B20</f>
        <v>0.07895736400402227</v>
      </c>
    </row>
    <row r="29">
      <c r="A29" s="5" t="inlineStr">
        <is>
          <t>WACC (market-implied - see note)</t>
        </is>
      </c>
      <c r="B29" s="11" t="n">
        <v>0.06607</v>
      </c>
    </row>
    <row r="30"/>
    <row r="31">
      <c r="A31" s="2" t="inlineStr">
        <is>
          <t>The market-implied WACC is solved numerically (root-find: the discount rate at which the</t>
        </is>
      </c>
    </row>
    <row r="32">
      <c r="A32" s="2" t="inlineStr">
        <is>
          <t>flat-revenue DCF below reproduces the $6.90 unaffected price) in the companion notebook -</t>
        </is>
      </c>
    </row>
    <row r="33">
      <c r="A33" s="2" t="inlineStr">
        <is>
          <t>not reproducible as a single closed-form Excel formula, so it is carried over as a value.</t>
        </is>
      </c>
    </row>
    <row r="34">
      <c r="A34" s="2" t="inlineStr">
        <is>
          <t>It falls between the embedded and marginal bounds computed live above, which is the check</t>
        </is>
      </c>
    </row>
    <row r="35">
      <c r="A35" s="2" t="inlineStr">
        <is>
          <t>that validates it. This is the rate the DCF tab below uses.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3" topLeftCell="A4" activePane="bottomLeft" state="frozen"/>
      <selection pane="bottomLeft" activeCell="A1" sqref="A1"/>
    </sheetView>
  </sheetViews>
  <sheetFormatPr baseColWidth="8" defaultRowHeight="15" outlineLevelCol="0"/>
  <cols>
    <col width="41" customWidth="1" min="1" max="1"/>
    <col width="13" customWidth="1" min="2" max="2"/>
    <col width="12" customWidth="1" min="3" max="3"/>
    <col width="12" customWidth="1" min="4" max="4"/>
    <col width="12" customWidth="1" min="5" max="5"/>
    <col width="12" customWidth="1" min="6" max="6"/>
    <col width="12" customWidth="1" min="7" max="7"/>
  </cols>
  <sheetData>
    <row r="1" ht="22" customHeight="1">
      <c r="A1" s="1" t="inlineStr">
        <is>
          <t>Standalone DCF (flat-revenue base case)</t>
        </is>
      </c>
    </row>
    <row r="2">
      <c r="A2" s="2" t="inlineStr">
        <is>
          <t>Revenue held flat at the FY2025 level; EBIT margin, D&amp;A, CapEx and NWC investment held at their FY2025 ratio to revenue. Every cell below is a formula.</t>
        </is>
      </c>
    </row>
    <row r="3"/>
    <row r="4">
      <c r="A4" s="3" t="inlineStr"/>
      <c r="B4" s="3" t="inlineStr">
        <is>
          <t>FY2025 base</t>
        </is>
      </c>
      <c r="C4" s="3" t="inlineStr">
        <is>
          <t>Y1</t>
        </is>
      </c>
      <c r="D4" s="3" t="inlineStr">
        <is>
          <t>Y2</t>
        </is>
      </c>
      <c r="E4" s="3" t="inlineStr">
        <is>
          <t>Y3</t>
        </is>
      </c>
      <c r="F4" s="3" t="inlineStr">
        <is>
          <t>Y4</t>
        </is>
      </c>
      <c r="G4" s="3" t="inlineStr">
        <is>
          <t>Y5</t>
        </is>
      </c>
    </row>
    <row r="5">
      <c r="A5" t="inlineStr">
        <is>
          <t>Revenue</t>
        </is>
      </c>
      <c r="B5">
        <f>Inputs!$B$23</f>
        <v>6216000000.0</v>
      </c>
      <c r="C5">
        <f>B5*(1+$B$16)</f>
        <v>6216000000.0</v>
      </c>
      <c r="D5">
        <f>C5*(1+$B$16)</f>
        <v>6216000000.0</v>
      </c>
      <c r="E5">
        <f>D5*(1+$B$16)</f>
        <v>6216000000.0</v>
      </c>
      <c r="F5">
        <f>E5*(1+$B$16)</f>
        <v>6216000000.0</v>
      </c>
      <c r="G5">
        <f>F5*(1+$B$16)</f>
        <v>6216000000.0</v>
      </c>
    </row>
    <row r="6">
      <c r="A6" t="inlineStr">
        <is>
          <t>EBIT margin</t>
        </is>
      </c>
      <c r="B6">
        <f>Inputs!$B$24/Inputs!$B$23</f>
        <v>0.14945302445302444</v>
      </c>
      <c r="C6">
        <f>Inputs!$B$24/Inputs!$B$23</f>
        <v>0.14945302445302444</v>
      </c>
      <c r="D6">
        <f>Inputs!$B$24/Inputs!$B$23</f>
        <v>0.14945302445302444</v>
      </c>
      <c r="E6">
        <f>Inputs!$B$24/Inputs!$B$23</f>
        <v>0.14945302445302444</v>
      </c>
      <c r="F6">
        <f>Inputs!$B$24/Inputs!$B$23</f>
        <v>0.14945302445302444</v>
      </c>
      <c r="G6">
        <f>Inputs!$B$24/Inputs!$B$23</f>
        <v>0.14945302445302444</v>
      </c>
    </row>
    <row r="7">
      <c r="A7" t="inlineStr">
        <is>
          <t>EBIT</t>
        </is>
      </c>
      <c r="C7">
        <f>C5*C6</f>
        <v>928999999.9999999</v>
      </c>
      <c r="D7">
        <f>D5*D6</f>
        <v>928999999.9999999</v>
      </c>
      <c r="E7">
        <f>E5*E6</f>
        <v>928999999.9999999</v>
      </c>
      <c r="F7">
        <f>F5*F6</f>
        <v>928999999.9999999</v>
      </c>
      <c r="G7">
        <f>G5*G6</f>
        <v>928999999.9999999</v>
      </c>
    </row>
    <row r="8">
      <c r="A8" t="inlineStr">
        <is>
          <t>Tax rate</t>
        </is>
      </c>
      <c r="C8">
        <f>Inputs!$B$25</f>
        <v>0.21</v>
      </c>
      <c r="D8">
        <f>Inputs!$B$25</f>
        <v>0.21</v>
      </c>
      <c r="E8">
        <f>Inputs!$B$25</f>
        <v>0.21</v>
      </c>
      <c r="F8">
        <f>Inputs!$B$25</f>
        <v>0.21</v>
      </c>
      <c r="G8">
        <f>Inputs!$B$25</f>
        <v>0.21</v>
      </c>
    </row>
    <row r="9">
      <c r="A9" t="inlineStr">
        <is>
          <t>NOPAT</t>
        </is>
      </c>
      <c r="C9">
        <f>C7*(1-C8)</f>
        <v>733909999.9999999</v>
      </c>
      <c r="D9">
        <f>D7*(1-D8)</f>
        <v>733909999.9999999</v>
      </c>
      <c r="E9">
        <f>E7*(1-E8)</f>
        <v>733909999.9999999</v>
      </c>
      <c r="F9">
        <f>F7*(1-F8)</f>
        <v>733909999.9999999</v>
      </c>
      <c r="G9">
        <f>G7*(1-G8)</f>
        <v>733909999.9999999</v>
      </c>
    </row>
    <row r="10">
      <c r="A10" t="inlineStr">
        <is>
          <t>D&amp;A (% of revenue)</t>
        </is>
      </c>
      <c r="C10">
        <f>C5*(Inputs!$B$26/Inputs!$B$23)</f>
        <v>361000000.0</v>
      </c>
      <c r="D10">
        <f>D5*(Inputs!$B$26/Inputs!$B$23)</f>
        <v>361000000.0</v>
      </c>
      <c r="E10">
        <f>E5*(Inputs!$B$26/Inputs!$B$23)</f>
        <v>361000000.0</v>
      </c>
      <c r="F10">
        <f>F5*(Inputs!$B$26/Inputs!$B$23)</f>
        <v>361000000.0</v>
      </c>
      <c r="G10">
        <f>G5*(Inputs!$B$26/Inputs!$B$23)</f>
        <v>361000000.0</v>
      </c>
    </row>
    <row r="11">
      <c r="A11" t="inlineStr">
        <is>
          <t>CapEx (% of revenue, negative)</t>
        </is>
      </c>
      <c r="C11">
        <f>C5*(Inputs!$B$27/Inputs!$B$23)</f>
        <v>-316000000.0</v>
      </c>
      <c r="D11">
        <f>D5*(Inputs!$B$27/Inputs!$B$23)</f>
        <v>-316000000.0</v>
      </c>
      <c r="E11">
        <f>E5*(Inputs!$B$27/Inputs!$B$23)</f>
        <v>-316000000.0</v>
      </c>
      <c r="F11">
        <f>F5*(Inputs!$B$27/Inputs!$B$23)</f>
        <v>-316000000.0</v>
      </c>
      <c r="G11">
        <f>G5*(Inputs!$B$27/Inputs!$B$23)</f>
        <v>-316000000.0</v>
      </c>
    </row>
    <row r="12">
      <c r="A12" t="inlineStr">
        <is>
          <t>Delta NWC (% of revenue, negative)</t>
        </is>
      </c>
      <c r="C12">
        <f>C5*(Inputs!$B$28/Inputs!$B$23)</f>
        <v>-247000000.0</v>
      </c>
      <c r="D12">
        <f>D5*(Inputs!$B$28/Inputs!$B$23)</f>
        <v>-247000000.0</v>
      </c>
      <c r="E12">
        <f>E5*(Inputs!$B$28/Inputs!$B$23)</f>
        <v>-247000000.0</v>
      </c>
      <c r="F12">
        <f>F5*(Inputs!$B$28/Inputs!$B$23)</f>
        <v>-247000000.0</v>
      </c>
      <c r="G12">
        <f>G5*(Inputs!$B$28/Inputs!$B$23)</f>
        <v>-247000000.0</v>
      </c>
    </row>
    <row r="13">
      <c r="A13" s="5" t="inlineStr">
        <is>
          <t>FCFF</t>
        </is>
      </c>
      <c r="C13" s="5">
        <f>C9+C10+C11+C12</f>
        <v>531910000.0</v>
      </c>
      <c r="D13" s="5">
        <f>D9+D10+D11+D12</f>
        <v>531910000.0</v>
      </c>
      <c r="E13" s="5">
        <f>E9+E10+E11+E12</f>
        <v>531910000.0</v>
      </c>
      <c r="F13" s="5">
        <f>F9+F10+F11+F12</f>
        <v>531910000.0</v>
      </c>
      <c r="G13" s="5">
        <f>G9+G10+G11+G12</f>
        <v>531910000.0</v>
      </c>
    </row>
    <row r="14"/>
    <row r="15">
      <c r="A15" s="5" t="inlineStr">
        <is>
          <t>Assumptions</t>
        </is>
      </c>
    </row>
    <row r="16">
      <c r="A16" t="inlineStr">
        <is>
          <t>Revenue growth rate (explicit period)</t>
        </is>
      </c>
      <c r="B16" s="11" t="n">
        <v>0</v>
      </c>
    </row>
    <row r="17">
      <c r="A17" t="inlineStr">
        <is>
          <t>Terminal growth rate</t>
        </is>
      </c>
      <c r="B17" s="11" t="n">
        <v>0.015</v>
      </c>
    </row>
    <row r="18">
      <c r="A18" t="inlineStr">
        <is>
          <t>Discount rate (WACC)</t>
        </is>
      </c>
      <c r="B18" s="12">
        <f>'Cost of Capital'!B29</f>
        <v>0.06607</v>
      </c>
    </row>
    <row r="19"/>
    <row r="20">
      <c r="A20" s="5" t="inlineStr">
        <is>
          <t>Valuation</t>
        </is>
      </c>
    </row>
    <row r="21">
      <c r="A21" t="inlineStr">
        <is>
          <t>Discount factor</t>
        </is>
      </c>
      <c r="C21">
        <f>1/(1+$B$18)^1</f>
        <v>0.9380247075707974</v>
      </c>
      <c r="D21">
        <f>1/(1+$B$18)^2</f>
        <v>0.8798903520132799</v>
      </c>
      <c r="E21">
        <f>1/(1+$B$18)^3</f>
        <v>0.8253588901416228</v>
      </c>
      <c r="F21">
        <f>1/(1+$B$18)^4</f>
        <v>0.7742070315660535</v>
      </c>
      <c r="G21">
        <f>1/(1+$B$18)^5</f>
        <v>0.7262253243840026</v>
      </c>
    </row>
    <row r="22">
      <c r="A22" t="inlineStr">
        <is>
          <t>PV of FCFF</t>
        </is>
      </c>
      <c r="C22">
        <f>C13*C21</f>
        <v>498944722.20398283</v>
      </c>
      <c r="D22">
        <f>D13*D21</f>
        <v>468022477.13938373</v>
      </c>
      <c r="E22">
        <f>E13*E21</f>
        <v>439016647.25523055</v>
      </c>
      <c r="F22">
        <f>F13*F21</f>
        <v>411808462.16029954</v>
      </c>
      <c r="G22">
        <f>G13*G21</f>
        <v>386286512.2930948</v>
      </c>
    </row>
    <row r="23"/>
    <row r="24">
      <c r="A24" t="inlineStr">
        <is>
          <t>Sum PV of explicit FCFF (Y1-Y5)</t>
        </is>
      </c>
      <c r="B24" s="13">
        <f>SUM(C22:G22)</f>
        <v>2204078821.0519915</v>
      </c>
    </row>
    <row r="25">
      <c r="A25" t="inlineStr">
        <is>
          <t>Terminal value = FCFF_Y5*(1+g)/(WACC-g)</t>
        </is>
      </c>
      <c r="B25" s="13">
        <f>G13*(1+B17)/(B18-B17)</f>
        <v>10571542001.174858</v>
      </c>
    </row>
    <row r="26">
      <c r="A26" t="inlineStr">
        <is>
          <t>PV of terminal value</t>
        </is>
      </c>
      <c r="B26" s="13">
        <f>B25*G21</f>
        <v>7677321519.042319</v>
      </c>
    </row>
    <row r="27">
      <c r="A27" s="5" t="inlineStr">
        <is>
          <t>Enterprise value</t>
        </is>
      </c>
      <c r="B27" s="14">
        <f>B24+B26</f>
        <v>9881400340.09431</v>
      </c>
    </row>
    <row r="28">
      <c r="A28" t="inlineStr">
        <is>
          <t>Terminal value as % of EV</t>
        </is>
      </c>
      <c r="B28" s="15">
        <f>B26/B27</f>
        <v>0.7769467135028602</v>
      </c>
    </row>
    <row r="29">
      <c r="A29" t="inlineStr">
        <is>
          <t>Less: net debt (FY2025)</t>
        </is>
      </c>
      <c r="B29" s="13">
        <f>-Inputs!$B$31</f>
        <v>-8070000000.0</v>
      </c>
    </row>
    <row r="30">
      <c r="A30" t="inlineStr">
        <is>
          <t>Equity value</t>
        </is>
      </c>
      <c r="B30" s="13">
        <f>B27+B29</f>
        <v>1811400340.0943108</v>
      </c>
    </row>
    <row r="31">
      <c r="A31" t="inlineStr">
        <is>
          <t>Shares outstanding</t>
        </is>
      </c>
      <c r="B31">
        <f>Inputs!$B$7</f>
        <v>262609433.0</v>
      </c>
    </row>
    <row r="32">
      <c r="A32" s="5" t="inlineStr">
        <is>
          <t>Equity value per share</t>
        </is>
      </c>
      <c r="B32" s="16">
        <f>B30/B31</f>
        <v>6.897697159623016</v>
      </c>
    </row>
    <row r="33"/>
    <row r="34">
      <c r="A34" s="2" t="inlineStr">
        <is>
          <t>At B16=0% and B18 = the market-implied WACC from the Cost of Capital tab, B32 reproduces the</t>
        </is>
      </c>
    </row>
    <row r="35">
      <c r="A35" s="2" t="inlineStr">
        <is>
          <t>$6.90 unaffected price by construction (that is how the market-implied WACC was solved). Change</t>
        </is>
      </c>
    </row>
    <row r="36">
      <c r="A36" s="2" t="inlineStr">
        <is>
          <t>B16 to +3.87% to see the revenue growth path the $14.00 offer requires (see the Reverse DCF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outlineLevelCol="0"/>
  <cols>
    <col width="20" customWidth="1" min="1" max="1"/>
    <col width="12" customWidth="1" min="2" max="2"/>
    <col width="12" customWidth="1" min="3" max="3"/>
    <col width="12" customWidth="1" min="4" max="4"/>
    <col width="12" customWidth="1" min="5" max="5"/>
    <col width="12" customWidth="1" min="6" max="6"/>
  </cols>
  <sheetData>
    <row r="1" ht="22" customHeight="1">
      <c r="A1" s="1" t="inlineStr">
        <is>
          <t>Equity Value per Share: WACC x Terminal Growth</t>
        </is>
      </c>
    </row>
    <row r="2">
      <c r="A2" s="2" t="inlineStr">
        <is>
          <t>Each cell is its own live DCF (same FCFF path as the DCF tab, held flat), evaluated at that row's WACC and that column's terminal growth. No cell is typed in.</t>
        </is>
      </c>
    </row>
    <row r="3"/>
    <row r="4">
      <c r="A4" s="5" t="inlineStr">
        <is>
          <t>WACC \ terminal g</t>
        </is>
      </c>
      <c r="B4" s="17" t="n">
        <v>0</v>
      </c>
      <c r="C4" s="17" t="n">
        <v>0.01</v>
      </c>
      <c r="D4" s="17" t="n">
        <v>0.015</v>
      </c>
      <c r="E4" s="17" t="n">
        <v>0.02</v>
      </c>
      <c r="F4" s="17" t="n">
        <v>0.03</v>
      </c>
    </row>
    <row r="5">
      <c r="A5" s="18" t="n">
        <v>0.04607</v>
      </c>
      <c r="B5" s="19">
        <f>(DCF!$C$13/(1+$A5)^1+DCF!$D$13/(1+$A5)^2+DCF!$E$13/(1+$A5)^3+DCF!$F$13/(1+$A5)^4+DCF!$G$13/(1+$A5)^5+(DCF!$G$13*(1+B$4)/($A5-B$4))/(1+$A5)^5-Inputs!$B$31)/Inputs!$B$7</f>
        <v>13.235211315757766</v>
      </c>
      <c r="C5" s="19">
        <f>(DCF!$C$13/(1+$A5)^1+DCF!$D$13/(1+$A5)^2+DCF!$E$13/(1+$A5)^3+DCF!$F$13/(1+$A5)^4+DCF!$G$13/(1+$A5)^5+(DCF!$G$13*(1+C$4)/($A5-C$4))/(1+$A5)^5-Inputs!$B$31)/Inputs!$B$7</f>
        <v>23.414571688506808</v>
      </c>
      <c r="D5" s="19">
        <f>(DCF!$C$13/(1+$A5)^1+DCF!$D$13/(1+$A5)^2+DCF!$E$13/(1+$A5)^3+DCF!$F$13/(1+$A5)^4+DCF!$G$13/(1+$A5)^5+(DCF!$G$13*(1+D$4)/($A5-D$4))/(1+$A5)^5-Inputs!$B$31)/Inputs!$B$7</f>
        <v>30.96145183611781</v>
      </c>
      <c r="E5" s="19">
        <f>(DCF!$C$13/(1+$A5)^1+DCF!$D$13/(1+$A5)^2+DCF!$E$13/(1+$A5)^3+DCF!$F$13/(1+$A5)^4+DCF!$G$13/(1+$A5)^5+(DCF!$G$13*(1+E$4)/($A5-E$4))/(1+$A5)^5-Inputs!$B$31)/Inputs!$B$7</f>
        <v>41.40318436102495</v>
      </c>
      <c r="F5" s="19">
        <f>(DCF!$C$13/(1+$A5)^1+DCF!$D$13/(1+$A5)^2+DCF!$E$13/(1+$A5)^3+DCF!$F$13/(1+$A5)^4+DCF!$G$13/(1+$A5)^5+(DCF!$G$13*(1+F$4)/($A5-F$4))/(1+$A5)^5-Inputs!$B$31)/Inputs!$B$7</f>
        <v>81.77961616548852</v>
      </c>
    </row>
    <row r="6">
      <c r="A6" s="18" t="n">
        <v>0.05607</v>
      </c>
      <c r="B6" s="19">
        <f>(DCF!$C$13/(1+$A6)^1+DCF!$D$13/(1+$A6)^2+DCF!$E$13/(1+$A6)^3+DCF!$F$13/(1+$A6)^4+DCF!$G$13/(1+$A6)^5+(DCF!$G$13*(1+B$4)/($A6-B$4))/(1+$A6)^5-Inputs!$B$31)/Inputs!$B$7</f>
        <v>5.39407390130528</v>
      </c>
      <c r="C6" s="19">
        <f>(DCF!$C$13/(1+$A6)^1+DCF!$D$13/(1+$A6)^2+DCF!$E$13/(1+$A6)^3+DCF!$F$13/(1+$A6)^4+DCF!$G$13/(1+$A6)^5+(DCF!$G$13*(1+C$4)/($A6-C$4))/(1+$A6)^5-Inputs!$B$31)/Inputs!$B$7</f>
        <v>11.697958323531925</v>
      </c>
      <c r="D6" s="19">
        <f>(DCF!$C$13/(1+$A6)^1+DCF!$D$13/(1+$A6)^2+DCF!$E$13/(1+$A6)^3+DCF!$F$13/(1+$A6)^4+DCF!$G$13/(1+$A6)^5+(DCF!$G$13*(1+D$4)/($A6-D$4))/(1+$A6)^5-Inputs!$B$31)/Inputs!$B$7</f>
        <v>16.001084687718038</v>
      </c>
      <c r="E6" s="19">
        <f>(DCF!$C$13/(1+$A6)^1+DCF!$D$13/(1+$A6)^2+DCF!$E$13/(1+$A6)^3+DCF!$F$13/(1+$A6)^4+DCF!$G$13/(1+$A6)^5+(DCF!$G$13*(1+E$4)/($A6-E$4))/(1+$A6)^5-Inputs!$B$31)/Inputs!$B$7</f>
        <v>21.497204221903086</v>
      </c>
      <c r="F6" s="19">
        <f>(DCF!$C$13/(1+$A6)^1+DCF!$D$13/(1+$A6)^2+DCF!$E$13/(1+$A6)^3+DCF!$F$13/(1+$A6)^4+DCF!$G$13/(1+$A6)^5+(DCF!$G$13*(1+F$4)/($A6-F$4))/(1+$A6)^5-Inputs!$B$31)/Inputs!$B$7</f>
        <v>38.814091776101755</v>
      </c>
    </row>
    <row r="7">
      <c r="A7" s="18" t="n">
        <v>0.06607</v>
      </c>
      <c r="B7" s="19">
        <f>(DCF!$C$13/(1+$A7)^1+DCF!$D$13/(1+$A7)^2+DCF!$E$13/(1+$A7)^3+DCF!$F$13/(1+$A7)^4+DCF!$G$13/(1+$A7)^5+(DCF!$G$13*(1+B$4)/($A7-B$4))/(1+$A7)^5-Inputs!$B$31)/Inputs!$B$7</f>
        <v>-0.07347870477654674</v>
      </c>
      <c r="C7" s="19">
        <f>(DCF!$C$13/(1+$A7)^1+DCF!$D$13/(1+$A7)^2+DCF!$E$13/(1+$A7)^3+DCF!$F$13/(1+$A7)^4+DCF!$G$13/(1+$A7)^5+(DCF!$G$13*(1+C$4)/($A7-C$4))/(1+$A7)^5-Inputs!$B$31)/Inputs!$B$7</f>
        <v>4.159538968309311</v>
      </c>
      <c r="D7" s="19">
        <f>(DCF!$C$13/(1+$A7)^1+DCF!$D$13/(1+$A7)^2+DCF!$E$13/(1+$A7)^3+DCF!$F$13/(1+$A7)^4+DCF!$G$13/(1+$A7)^5+(DCF!$G$13*(1+D$4)/($A7-D$4))/(1+$A7)^5-Inputs!$B$31)/Inputs!$B$7</f>
        <v>6.897697159623016</v>
      </c>
      <c r="E7" s="19">
        <f>(DCF!$C$13/(1+$A7)^1+DCF!$D$13/(1+$A7)^2+DCF!$E$13/(1+$A7)^3+DCF!$F$13/(1+$A7)^4+DCF!$G$13/(1+$A7)^5+(DCF!$G$13*(1+E$4)/($A7-E$4))/(1+$A7)^5-Inputs!$B$31)/Inputs!$B$7</f>
        <v>10.230202690054089</v>
      </c>
      <c r="F7" s="19">
        <f>(DCF!$C$13/(1+$A7)^1+DCF!$D$13/(1+$A7)^2+DCF!$E$13/(1+$A7)^3+DCF!$F$13/(1+$A7)^4+DCF!$G$13/(1+$A7)^5+(DCF!$G$13*(1+F$4)/($A7-F$4))/(1+$A7)^5-Inputs!$B$31)/Inputs!$B$7</f>
        <v>19.666912279137247</v>
      </c>
    </row>
    <row r="8">
      <c r="A8" s="18" t="n">
        <v>0.07607</v>
      </c>
      <c r="B8" s="19">
        <f>(DCF!$C$13/(1+$A8)^1+DCF!$D$13/(1+$A8)^2+DCF!$E$13/(1+$A8)^3+DCF!$F$13/(1+$A8)^4+DCF!$G$13/(1+$A8)^5+(DCF!$G$13*(1+B$4)/($A8-B$4))/(1+$A8)^5-Inputs!$B$31)/Inputs!$B$7</f>
        <v>-4.1035256960084086</v>
      </c>
      <c r="C8" s="19">
        <f>(DCF!$C$13/(1+$A8)^1+DCF!$D$13/(1+$A8)^2+DCF!$E$13/(1+$A8)^3+DCF!$F$13/(1+$A8)^4+DCF!$G$13/(1+$A8)^5+(DCF!$G$13*(1+C$4)/($A8-C$4))/(1+$A8)^5-Inputs!$B$31)/Inputs!$B$7</f>
        <v>-1.0978091984207647</v>
      </c>
      <c r="D8" s="19">
        <f>(DCF!$C$13/(1+$A8)^1+DCF!$D$13/(1+$A8)^2+DCF!$E$13/(1+$A8)^3+DCF!$F$13/(1+$A8)^4+DCF!$G$13/(1+$A8)^5+(DCF!$G$13*(1+D$4)/($A8-D$4))/(1+$A8)^5-Inputs!$B$31)/Inputs!$B$7</f>
        <v>0.7741807636841337</v>
      </c>
      <c r="E8" s="19">
        <f>(DCF!$C$13/(1+$A8)^1+DCF!$D$13/(1+$A8)^2+DCF!$E$13/(1+$A8)^3+DCF!$F$13/(1+$A8)^4+DCF!$G$13/(1+$A8)^5+(DCF!$G$13*(1+E$4)/($A8-E$4))/(1+$A8)^5-Inputs!$B$31)/Inputs!$B$7</f>
        <v>2.980037314357764</v>
      </c>
      <c r="F8" s="19">
        <f>(DCF!$C$13/(1+$A8)^1+DCF!$D$13/(1+$A8)^2+DCF!$E$13/(1+$A8)^3+DCF!$F$13/(1+$A8)^4+DCF!$G$13/(1+$A8)^5+(DCF!$G$13*(1+F$4)/($A8-F$4))/(1+$A8)^5-Inputs!$B$31)/Inputs!$B$7</f>
        <v>8.828166663159099</v>
      </c>
    </row>
    <row r="9">
      <c r="A9" s="18" t="n">
        <v>0.08607000000000001</v>
      </c>
      <c r="B9" s="19">
        <f>(DCF!$C$13/(1+$A9)^1+DCF!$D$13/(1+$A9)^2+DCF!$E$13/(1+$A9)^3+DCF!$F$13/(1+$A9)^4+DCF!$G$13/(1+$A9)^5+(DCF!$G$13*(1+B$4)/($A9-B$4))/(1+$A9)^5-Inputs!$B$31)/Inputs!$B$7</f>
        <v>-7.197114689974818</v>
      </c>
      <c r="C9" s="19">
        <f>(DCF!$C$13/(1+$A9)^1+DCF!$D$13/(1+$A9)^2+DCF!$E$13/(1+$A9)^3+DCF!$F$13/(1+$A9)^4+DCF!$G$13/(1+$A9)^5+(DCF!$G$13*(1+C$4)/($A9-C$4))/(1+$A9)^5-Inputs!$B$31)/Inputs!$B$7</f>
        <v>-4.973644333407947</v>
      </c>
      <c r="D9" s="19">
        <f>(DCF!$C$13/(1+$A9)^1+DCF!$D$13/(1+$A9)^2+DCF!$E$13/(1+$A9)^3+DCF!$F$13/(1+$A9)^4+DCF!$G$13/(1+$A9)^5+(DCF!$G$13*(1+D$4)/($A9-D$4))/(1+$A9)^5-Inputs!$B$31)/Inputs!$B$7</f>
        <v>-3.6272668633804317</v>
      </c>
      <c r="E9" s="19">
        <f>(DCF!$C$13/(1+$A9)^1+DCF!$D$13/(1+$A9)^2+DCF!$E$13/(1+$A9)^3+DCF!$F$13/(1+$A9)^4+DCF!$G$13/(1+$A9)^5+(DCF!$G$13*(1+E$4)/($A9-E$4))/(1+$A9)^5-Inputs!$B$31)/Inputs!$B$7</f>
        <v>-2.0771089377713343</v>
      </c>
      <c r="F9" s="19">
        <f>(DCF!$C$13/(1+$A9)^1+DCF!$D$13/(1+$A9)^2+DCF!$E$13/(1+$A9)^3+DCF!$F$13/(1+$A9)^4+DCF!$G$13/(1+$A9)^5+(DCF!$G$13*(1+F$4)/($A9-F$4))/(1+$A9)^5-Inputs!$B$31)/Inputs!$B$7</f>
        <v>1.8526119030718395</v>
      </c>
    </row>
    <row r="10"/>
    <row r="11">
      <c r="A11" s="2" t="inlineStr">
        <is>
          <t>Center cell (row 3, col 3) reproduces the DCF tab's $6.90 by construction.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outlineLevelCol="0"/>
  <cols>
    <col width="74" customWidth="1" min="1" max="1"/>
    <col width="14" customWidth="1" min="2" max="2"/>
    <col width="12" customWidth="1" min="3" max="3"/>
    <col width="12" customWidth="1" min="4" max="4"/>
    <col width="12" customWidth="1" min="5" max="5"/>
    <col width="12" customWidth="1" min="6" max="6"/>
    <col width="12" customWidth="1" min="7" max="7"/>
  </cols>
  <sheetData>
    <row r="1" ht="22" customHeight="1">
      <c r="A1" s="1" t="inlineStr">
        <is>
          <t>What Does the $14.00 Offer Require?</t>
        </is>
      </c>
    </row>
    <row r="2">
      <c r="A2" s="2" t="inlineStr">
        <is>
          <t>Same mechanics as the DCF tab, laid out the same way, but with the revenue growth rate (B6) solved so equity value per share (B21) equals the $14.00 offer. Excel's Goal Seek (Data &gt; What-If Analysis &gt; Goal Seek, set B21 to 14 by changing B6) reproduces this live; the value in B6 is carried over from the notebook's root-find for a static file, and B21 below checks it.</t>
        </is>
      </c>
    </row>
    <row r="3"/>
    <row r="4">
      <c r="A4" s="5" t="inlineStr">
        <is>
          <t>Revenue growth rate (solved to hit $14.00)</t>
        </is>
      </c>
      <c r="B4" s="11" t="n">
        <v>0.0387</v>
      </c>
    </row>
    <row r="5">
      <c r="A5" t="inlineStr">
        <is>
          <t>Terminal growth rate (held at DCF tab's base case)</t>
        </is>
      </c>
      <c r="B5" s="12">
        <f>DCF!$B$17</f>
        <v>0.015</v>
      </c>
    </row>
    <row r="6">
      <c r="A6" t="inlineStr">
        <is>
          <t>Discount rate (held at DCF tab's base case)</t>
        </is>
      </c>
      <c r="B6" s="12">
        <f>DCF!$B$18</f>
        <v>0.06607</v>
      </c>
    </row>
    <row r="7"/>
    <row r="8">
      <c r="A8" s="3" t="inlineStr"/>
      <c r="B8" s="3" t="inlineStr">
        <is>
          <t>FY2025 base</t>
        </is>
      </c>
      <c r="C8" s="3" t="inlineStr">
        <is>
          <t>Y1</t>
        </is>
      </c>
      <c r="D8" s="3" t="inlineStr">
        <is>
          <t>Y2</t>
        </is>
      </c>
      <c r="E8" s="3" t="inlineStr">
        <is>
          <t>Y3</t>
        </is>
      </c>
      <c r="F8" s="3" t="inlineStr">
        <is>
          <t>Y4</t>
        </is>
      </c>
      <c r="G8" s="3" t="inlineStr">
        <is>
          <t>Y5</t>
        </is>
      </c>
    </row>
    <row r="9">
      <c r="A9" t="inlineStr">
        <is>
          <t>Revenue</t>
        </is>
      </c>
      <c r="B9">
        <f>Inputs!$B$23</f>
        <v>6216000000.0</v>
      </c>
      <c r="C9">
        <f>B9*(1+$B$4)</f>
        <v>6456559200.0</v>
      </c>
      <c r="D9">
        <f>C9*(1+$B$4)</f>
        <v>6706428041.04</v>
      </c>
      <c r="E9">
        <f>D9*(1+$B$4)</f>
        <v>6965966806.228248</v>
      </c>
      <c r="F9">
        <f>E9*(1+$B$4)</f>
        <v>7235549721.62928</v>
      </c>
      <c r="G9">
        <f>F9*(1+$B$4)</f>
        <v>7515565495.856333</v>
      </c>
    </row>
    <row r="10">
      <c r="A10" t="inlineStr">
        <is>
          <t>EBIT margin (held at DCF tab's FY2025 level)</t>
        </is>
      </c>
      <c r="C10">
        <f>DCF!$B$6</f>
        <v>0.14945302445302444</v>
      </c>
      <c r="D10">
        <f>DCF!$B$6</f>
        <v>0.14945302445302444</v>
      </c>
      <c r="E10">
        <f>DCF!$B$6</f>
        <v>0.14945302445302444</v>
      </c>
      <c r="F10">
        <f>DCF!$B$6</f>
        <v>0.14945302445302444</v>
      </c>
      <c r="G10">
        <f>DCF!$B$6</f>
        <v>0.14945302445302444</v>
      </c>
    </row>
    <row r="11">
      <c r="A11" t="inlineStr">
        <is>
          <t>EBIT</t>
        </is>
      </c>
      <c r="C11">
        <f>C9*C10</f>
        <v>964952299.9999999</v>
      </c>
      <c r="D11">
        <f>D9*D10</f>
        <v>1002295954.0099999</v>
      </c>
      <c r="E11">
        <f>E9*E10</f>
        <v>1041084807.4301869</v>
      </c>
      <c r="F11">
        <f>F9*F10</f>
        <v>1081374789.477735</v>
      </c>
      <c r="G11">
        <f>G9*G10</f>
        <v>1123223993.8305233</v>
      </c>
    </row>
    <row r="12">
      <c r="A12" t="inlineStr">
        <is>
          <t>Tax rate</t>
        </is>
      </c>
      <c r="C12">
        <f>Inputs!$B$25</f>
        <v>0.21</v>
      </c>
      <c r="D12">
        <f>Inputs!$B$25</f>
        <v>0.21</v>
      </c>
      <c r="E12">
        <f>Inputs!$B$25</f>
        <v>0.21</v>
      </c>
      <c r="F12">
        <f>Inputs!$B$25</f>
        <v>0.21</v>
      </c>
      <c r="G12">
        <f>Inputs!$B$25</f>
        <v>0.21</v>
      </c>
    </row>
    <row r="13">
      <c r="A13" t="inlineStr">
        <is>
          <t>NOPAT</t>
        </is>
      </c>
      <c r="C13">
        <f>C11*(1-C12)</f>
        <v>762312316.9999999</v>
      </c>
      <c r="D13">
        <f>D11*(1-D12)</f>
        <v>791813803.6679</v>
      </c>
      <c r="E13">
        <f>E11*(1-E12)</f>
        <v>822456997.8698477</v>
      </c>
      <c r="F13">
        <f>F11*(1-F12)</f>
        <v>854286083.6874107</v>
      </c>
      <c r="G13">
        <f>G11*(1-G12)</f>
        <v>887346955.1261134</v>
      </c>
    </row>
    <row r="14">
      <c r="A14" t="inlineStr">
        <is>
          <t>D&amp;A (% of revenue)</t>
        </is>
      </c>
      <c r="C14">
        <f>C9*(Inputs!$B$26/Inputs!$B$23)</f>
        <v>374970700.0</v>
      </c>
      <c r="D14">
        <f>D9*(Inputs!$B$26/Inputs!$B$23)</f>
        <v>389482066.09</v>
      </c>
      <c r="E14">
        <f>E9*(Inputs!$B$26/Inputs!$B$23)</f>
        <v>404555022.047683</v>
      </c>
      <c r="F14">
        <f>F9*(Inputs!$B$26/Inputs!$B$23)</f>
        <v>420211301.40092826</v>
      </c>
      <c r="G14">
        <f>G9*(Inputs!$B$26/Inputs!$B$23)</f>
        <v>436473478.76514417</v>
      </c>
    </row>
    <row r="15">
      <c r="A15" t="inlineStr">
        <is>
          <t>CapEx (% of revenue, negative)</t>
        </is>
      </c>
      <c r="C15">
        <f>C9*(Inputs!$B$27/Inputs!$B$23)</f>
        <v>-328229200.0</v>
      </c>
      <c r="D15">
        <f>D9*(Inputs!$B$27/Inputs!$B$23)</f>
        <v>-340931670.04</v>
      </c>
      <c r="E15">
        <f>E9*(Inputs!$B$27/Inputs!$B$23)</f>
        <v>-354125725.67054796</v>
      </c>
      <c r="F15">
        <f>F9*(Inputs!$B$27/Inputs!$B$23)</f>
        <v>-367830391.25399816</v>
      </c>
      <c r="G15">
        <f>G9*(Inputs!$B$27/Inputs!$B$23)</f>
        <v>-382065427.39552784</v>
      </c>
    </row>
    <row r="16">
      <c r="A16" t="inlineStr">
        <is>
          <t>Delta NWC (% of revenue, negative)</t>
        </is>
      </c>
      <c r="C16">
        <f>C9*(Inputs!$B$28/Inputs!$B$23)</f>
        <v>-256558900.0</v>
      </c>
      <c r="D16">
        <f>D9*(Inputs!$B$28/Inputs!$B$23)</f>
        <v>-266487729.43</v>
      </c>
      <c r="E16">
        <f>E9*(Inputs!$B$28/Inputs!$B$23)</f>
        <v>-276800804.558941</v>
      </c>
      <c r="F16">
        <f>F9*(Inputs!$B$28/Inputs!$B$23)</f>
        <v>-287512995.695372</v>
      </c>
      <c r="G16">
        <f>G9*(Inputs!$B$28/Inputs!$B$23)</f>
        <v>-298639748.62878287</v>
      </c>
    </row>
    <row r="17">
      <c r="A17" s="5" t="inlineStr">
        <is>
          <t>FCFF</t>
        </is>
      </c>
      <c r="C17" s="5">
        <f>C13+C14+C15+C16</f>
        <v>552494917.0</v>
      </c>
      <c r="D17" s="5">
        <f>D13+D14+D15+D16</f>
        <v>573876470.2879</v>
      </c>
      <c r="E17" s="5">
        <f>E13+E14+E15+E16</f>
        <v>596085489.6880416</v>
      </c>
      <c r="F17" s="5">
        <f>F13+F14+F15+F16</f>
        <v>619153998.1389687</v>
      </c>
      <c r="G17" s="5">
        <f>G13+G14+G15+G16</f>
        <v>643115257.8669468</v>
      </c>
    </row>
    <row r="18">
      <c r="A18" t="inlineStr">
        <is>
          <t>Discount factor</t>
        </is>
      </c>
      <c r="C18">
        <f>1/(1+$B$6)^1</f>
        <v>0.9380247075707974</v>
      </c>
      <c r="D18">
        <f>1/(1+$B$6)^2</f>
        <v>0.8798903520132799</v>
      </c>
      <c r="E18">
        <f>1/(1+$B$6)^3</f>
        <v>0.8253588901416228</v>
      </c>
      <c r="F18">
        <f>1/(1+$B$6)^4</f>
        <v>0.7742070315660535</v>
      </c>
      <c r="G18">
        <f>1/(1+$B$6)^5</f>
        <v>0.7262253243840026</v>
      </c>
    </row>
    <row r="19">
      <c r="A19" t="inlineStr">
        <is>
          <t>PV of FCFF</t>
        </is>
      </c>
      <c r="C19">
        <f>C17*C18</f>
        <v>518253882.953277</v>
      </c>
      <c r="D19">
        <f>D17*D18</f>
        <v>504948369.4537589</v>
      </c>
      <c r="E19">
        <f>E17*E18</f>
        <v>491984458.1984477</v>
      </c>
      <c r="F19">
        <f>F17*F18</f>
        <v>479353378.9814248</v>
      </c>
      <c r="G19">
        <f>G17*G18</f>
        <v>467046586.7607249</v>
      </c>
    </row>
    <row r="20">
      <c r="A20" t="inlineStr">
        <is>
          <t>Sum PV of explicit FCFF (Y1-Y5)</t>
        </is>
      </c>
      <c r="B20" s="13">
        <f>SUM(C19:G19)</f>
        <v>2461586676.3476334</v>
      </c>
    </row>
    <row r="21">
      <c r="A21" t="inlineStr">
        <is>
          <t>Terminal value</t>
        </is>
      </c>
      <c r="B21" s="13">
        <f>G17*(1+B5)/(B6-B5)</f>
        <v>12781711116.799507</v>
      </c>
    </row>
    <row r="22">
      <c r="A22" t="inlineStr">
        <is>
          <t>PV of terminal value</t>
        </is>
      </c>
      <c r="B22" s="13">
        <f>B21*G18</f>
        <v>9282402301.980333</v>
      </c>
    </row>
    <row r="23">
      <c r="A23" s="5" t="inlineStr">
        <is>
          <t>Enterprise value (implied by this growth path)</t>
        </is>
      </c>
      <c r="B23" s="14">
        <f>B20+B22</f>
        <v>11743988978.327967</v>
      </c>
    </row>
    <row r="24">
      <c r="A24" t="inlineStr">
        <is>
          <t>Less: net debt</t>
        </is>
      </c>
      <c r="B24" s="13">
        <f>-Inputs!$B$31</f>
        <v>-8070000000.0</v>
      </c>
    </row>
    <row r="25">
      <c r="A25" t="inlineStr">
        <is>
          <t>Equity value</t>
        </is>
      </c>
      <c r="B25" s="13">
        <f>B23+B24</f>
        <v>3673988978.3279667</v>
      </c>
    </row>
    <row r="26">
      <c r="A26" t="inlineStr">
        <is>
          <t>Shares outstanding</t>
        </is>
      </c>
      <c r="B26">
        <f>Inputs!$B$7</f>
        <v>262609433.0</v>
      </c>
    </row>
    <row r="27">
      <c r="A27" s="5" t="inlineStr">
        <is>
          <t>Equity value per share (check: should be ~$14.00)</t>
        </is>
      </c>
      <c r="B27" s="16">
        <f>B25/B26</f>
        <v>13.990316099300085</v>
      </c>
    </row>
    <row r="28"/>
    <row r="29">
      <c r="A29" t="inlineStr">
        <is>
          <t>Standalone EV (0% growth base case, from DCF tab)</t>
        </is>
      </c>
      <c r="B29" s="13">
        <f>DCF!$B$27</f>
        <v>9881400340.09431</v>
      </c>
    </row>
    <row r="30">
      <c r="A30" s="5" t="inlineStr">
        <is>
          <t>Implied synergy / growth premium</t>
        </is>
      </c>
      <c r="B30" s="14">
        <f>B23-B29</f>
        <v>1862588638.233656</v>
      </c>
    </row>
    <row r="31">
      <c r="A31" t="inlineStr">
        <is>
          <t>As % of standalone EV</t>
        </is>
      </c>
      <c r="B31" s="15">
        <f>B30/B29</f>
        <v>0.18849440100874193</v>
      </c>
    </row>
    <row r="32"/>
    <row r="33">
      <c r="A33" s="2" t="inlineStr">
        <is>
          <t>FY2023 revenue (historical fact, not derived elsewhere in this workbook)</t>
        </is>
      </c>
      <c r="B33" s="20" t="n">
        <v>6263000000</v>
      </c>
    </row>
    <row r="34">
      <c r="A34" s="2" t="inlineStr">
        <is>
          <t>Actual FY2023-to-FY2025 revenue CAGR (2-year span), for comparison</t>
        </is>
      </c>
      <c r="B34" s="21">
        <f>(Inputs!$B$23/B33)^0.5-1</f>
        <v>-0.0037592614568487948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3" topLeftCell="A4" activePane="bottomLeft" state="frozen"/>
      <selection pane="bottomLeft" activeCell="A1" sqref="A1"/>
    </sheetView>
  </sheetViews>
  <sheetFormatPr baseColWidth="8" defaultRowHeight="15" outlineLevelCol="0"/>
  <cols>
    <col width="50" customWidth="1" min="1" max="1"/>
    <col width="14" customWidth="1" min="2" max="2"/>
  </cols>
  <sheetData>
    <row r="1" ht="22" customHeight="1">
      <c r="A1" s="1" t="inlineStr">
        <is>
          <t>Spread, Implied Probability, Expected Value</t>
        </is>
      </c>
    </row>
    <row r="2">
      <c r="A2" s="2" t="inlineStr">
        <is>
          <t>Spot, offer and break-price scenarios drive every formula below. Monte Carlo and Sharpe/Treynor results (which need a full return-series regression and 100,000 simulated paths - not reproducible as a handful of spreadsheet formulas) are carried over from the companion notebook, sourced explicitly where used.</t>
        </is>
      </c>
    </row>
    <row r="3"/>
    <row r="4">
      <c r="A4" s="5" t="inlineStr">
        <is>
          <t>Spot price</t>
        </is>
      </c>
      <c r="B4" s="19">
        <f>Inputs!$B$14</f>
        <v>13.57</v>
      </c>
    </row>
    <row r="5">
      <c r="A5" s="5" t="inlineStr">
        <is>
          <t>Offer price</t>
        </is>
      </c>
      <c r="B5" s="19">
        <f>Inputs!$B$5</f>
        <v>14.0</v>
      </c>
    </row>
    <row r="6">
      <c r="A6" t="inlineStr">
        <is>
          <t>Gross spread</t>
        </is>
      </c>
      <c r="B6" s="6">
        <f>B5/B4-1</f>
        <v>0.0316875460574797</v>
      </c>
    </row>
    <row r="7"/>
    <row r="8">
      <c r="A8" s="5" t="inlineStr">
        <is>
          <t>Break-price scenarios</t>
        </is>
      </c>
    </row>
    <row r="9">
      <c r="A9" t="inlineStr">
        <is>
          <t>Break price: unaffected basis</t>
        </is>
      </c>
      <c r="B9" s="19">
        <f>Inputs!$B$15</f>
        <v>6.9</v>
      </c>
    </row>
    <row r="10">
      <c r="A10" t="inlineStr">
        <is>
          <t>Break price: unaffected -10%</t>
        </is>
      </c>
      <c r="B10" s="19">
        <f>B9*0.9</f>
        <v>6.210000000000001</v>
      </c>
    </row>
    <row r="11">
      <c r="A11" t="inlineStr">
        <is>
          <t>Break price: unaffected -20%</t>
        </is>
      </c>
      <c r="B11" s="19">
        <f>B9*0.8</f>
        <v>5.5200000000000005</v>
      </c>
    </row>
    <row r="12"/>
    <row r="13">
      <c r="A13" s="5" t="inlineStr">
        <is>
          <t>Spread-implied P(completion), unaffected basis</t>
        </is>
      </c>
      <c r="B13" s="10">
        <f>(B4-B9)/(B5-B9)</f>
        <v>0.9394366197183099</v>
      </c>
    </row>
    <row r="14">
      <c r="A14" t="inlineStr">
        <is>
          <t>Spread-implied P(completion), -10% basis</t>
        </is>
      </c>
      <c r="B14" s="10">
        <f>(B4-B10)/(B5-B10)</f>
        <v>0.944801026957638</v>
      </c>
    </row>
    <row r="15">
      <c r="A15" t="inlineStr">
        <is>
          <t>Spread-implied P(completion), -20% basis</t>
        </is>
      </c>
      <c r="B15" s="10">
        <f>(B4-B11)/(B5-B11)</f>
        <v>0.9492924528301887</v>
      </c>
    </row>
    <row r="16"/>
    <row r="17">
      <c r="A17" t="inlineStr">
        <is>
          <t>Downside if deal breaks (unaffected basis)</t>
        </is>
      </c>
      <c r="B17" s="10">
        <f>B9/B4-1</f>
        <v>-0.4915254237288136</v>
      </c>
    </row>
    <row r="18">
      <c r="A18" t="inlineStr">
        <is>
          <t>Upside if deal completes</t>
        </is>
      </c>
      <c r="B18" s="10">
        <f>B5/B4-1</f>
        <v>0.0316875460574797</v>
      </c>
    </row>
    <row r="19"/>
    <row r="20">
      <c r="A20" s="5" t="inlineStr">
        <is>
          <t>Breakeven P(completion) (unaffected basis)</t>
        </is>
      </c>
      <c r="B20" s="10">
        <f>-B17/(B18-B17)</f>
        <v>0.9394366197183099</v>
      </c>
    </row>
    <row r="21"/>
    <row r="22">
      <c r="A22" s="5" t="inlineStr">
        <is>
          <t>From companion notebook (100,000-path Monte Carlo)</t>
        </is>
      </c>
    </row>
    <row r="23">
      <c r="A23" t="inlineStr">
        <is>
          <t>Mean holding-period return</t>
        </is>
      </c>
      <c r="B23" s="11" t="n">
        <v>-0.0104</v>
      </c>
    </row>
    <row r="24">
      <c r="A24" t="inlineStr">
        <is>
          <t>Probability of a loss</t>
        </is>
      </c>
      <c r="B24" s="22" t="n">
        <v>0.08069999999999999</v>
      </c>
    </row>
    <row r="25">
      <c r="A25" t="inlineStr">
        <is>
          <t>95% VaR</t>
        </is>
      </c>
      <c r="B25" s="22" t="n">
        <v>-0.4782</v>
      </c>
    </row>
    <row r="26">
      <c r="A26" t="inlineStr">
        <is>
          <t>95% CVaR</t>
        </is>
      </c>
      <c r="B26" s="22" t="n">
        <v>-0.5153</v>
      </c>
    </row>
    <row r="27">
      <c r="A27" t="inlineStr">
        <is>
          <t>Position beta vs S&amp;P 500 (since announcement)</t>
        </is>
      </c>
      <c r="B27" s="23" t="n">
        <v>0.049</v>
      </c>
    </row>
    <row r="28">
      <c r="A28" t="inlineStr">
        <is>
          <t>Max-Sharpe two-asset mix: weight on arb position</t>
        </is>
      </c>
      <c r="B28" s="2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outlineLevelCol="0"/>
  <cols>
    <col width="70" customWidth="1" min="1" max="1"/>
    <col width="16" customWidth="1" min="2" max="2"/>
  </cols>
  <sheetData>
    <row r="1" ht="22" customHeight="1">
      <c r="A1" s="1" t="inlineStr">
        <is>
          <t>Black-Scholes Put Pricing, Built Natively in Excel</t>
        </is>
      </c>
    </row>
    <row r="2">
      <c r="A2" s="2" t="inlineStr">
        <is>
          <t>OGN's own listed options were checked directly and found unusable (zero bid/ask, zero open interest at the money, across OGN and every large US pharma peer checked) - see the companion notebook. Priced here from first principles instead, using the standard normal CDF, with the pre-leak realised volatility as the input - not the post-announcement (deal-pinned) volatility, which would price the very risk being insured against as if it barely existed.</t>
        </is>
      </c>
    </row>
    <row r="3"/>
    <row r="4">
      <c r="A4" t="inlineStr">
        <is>
          <t>Spot (S)</t>
        </is>
      </c>
      <c r="B4" s="19">
        <f>Inputs!$B$14</f>
        <v>13.57</v>
      </c>
    </row>
    <row r="5">
      <c r="A5" t="inlineStr">
        <is>
          <t>Strike (K) - unaffected price</t>
        </is>
      </c>
      <c r="B5" s="19">
        <f>Inputs!$B$15</f>
        <v>6.9</v>
      </c>
    </row>
    <row r="6">
      <c r="A6" t="inlineStr">
        <is>
          <t>Risk-free rate (r), current</t>
        </is>
      </c>
      <c r="B6" s="6">
        <f>Inputs!$B$18</f>
        <v>0.04617</v>
      </c>
    </row>
    <row r="7">
      <c r="A7" t="inlineStr">
        <is>
          <t>Volatility (sigma) - pre-leak regime</t>
        </is>
      </c>
      <c r="B7" s="11" t="n">
        <v>0.5802</v>
      </c>
    </row>
    <row r="8">
      <c r="A8" t="inlineStr">
        <is>
          <t>Time to expiry (T, years)</t>
        </is>
      </c>
      <c r="B8" s="23" t="n">
        <v>0.529</v>
      </c>
    </row>
    <row r="9"/>
    <row r="10">
      <c r="A10" t="inlineStr">
        <is>
          <t>d1 = (LN(S/K)+(r+0.5*sigma^2)*T)/(sigma*SQRT(T))</t>
        </is>
      </c>
      <c r="B10" s="25">
        <f>(LN(B4/B5)+(B6+0.5*B7^2)*B8)/(B7*SQRT(B8))</f>
        <v>1.8716011797853787</v>
      </c>
    </row>
    <row r="11">
      <c r="A11" t="inlineStr">
        <is>
          <t>d2 = d1 - sigma*SQRT(T)</t>
        </is>
      </c>
      <c r="B11" s="25">
        <f>B10-B7*SQRT(B8)</f>
        <v>1.449607875146549</v>
      </c>
    </row>
    <row r="12"/>
    <row r="13">
      <c r="A13" s="5" t="inlineStr">
        <is>
          <t>Put premium = K*EXP(-r*T)*NORMSDIST(-d2) - S*NORMSDIST(-d1)</t>
        </is>
      </c>
      <c r="B13" s="26">
        <f>B5*EXP(-B6*B8)*NORMSDIST(-B11)-B4*NORMSDIST(-B10)</f>
        <v>0.07981740534888981</v>
      </c>
    </row>
    <row r="14">
      <c r="A14" t="inlineStr">
        <is>
          <t>Put delta = NORMSDIST(d1) - 1</t>
        </is>
      </c>
      <c r="B14" s="25">
        <f>NORMSDIST(B10)-1</f>
        <v>-0.030630900036752173</v>
      </c>
    </row>
    <row r="15"/>
    <row r="16">
      <c r="A16" s="5" t="inlineStr">
        <is>
          <t>Cross-check: same formula at post-announcement vol (4.46%) - shown to be near zero</t>
        </is>
      </c>
    </row>
    <row r="17">
      <c r="A17" t="inlineStr">
        <is>
          <t>Volatility (sigma) - post-announcement (circular, for contrast only)</t>
        </is>
      </c>
      <c r="B17" s="11" t="n">
        <v>0.0446</v>
      </c>
    </row>
    <row r="18">
      <c r="A18" t="inlineStr">
        <is>
          <t>d1 (circular)</t>
        </is>
      </c>
      <c r="B18" s="25">
        <f>(LN(B4/B5)+(B6+0.5*B17^2)*B8)/(B17*SQRT(B8))</f>
        <v>21.61897149332421</v>
      </c>
    </row>
    <row r="19">
      <c r="A19" t="inlineStr">
        <is>
          <t>d2 (circular)</t>
        </is>
      </c>
      <c r="B19" s="25">
        <f>B18-B17*SQRT(B8)</f>
        <v>21.586532849086204</v>
      </c>
    </row>
    <row r="20">
      <c r="A20" s="5" t="inlineStr">
        <is>
          <t>Put premium (circular vol) - shows the understatement</t>
        </is>
      </c>
      <c r="B20" s="26">
        <f>B5*EXP(-B6*B8)*NORMSDIST(-B19)-B4*NORMSDIST(-B18)</f>
        <v>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Shaswat Sharma</dc:creator>
  <dc:title xmlns:dc="http://purl.org/dc/elements/1.1/">Sun Pharma - Organon Merger Arbitrage Model</dc:title>
  <dc:subject xmlns:dc="http://purl.org/dc/elements/1.1/">Merger arbitrage and synergy valuation</dc:subject>
  <dcterms:created xmlns:dcterms="http://purl.org/dc/terms/" xmlns:xsi="http://www.w3.org/2001/XMLSchema-instance" xsi:type="dcterms:W3CDTF">2026-08-06T14:58:26Z</dcterms:created>
  <dcterms:modified xmlns:dcterms="http://purl.org/dc/terms/" xmlns:xsi="http://www.w3.org/2001/XMLSchema-instance" xsi:type="dcterms:W3CDTF">2026-08-06T14:58:27Z</dcterms:modified>
  <cp:lastModifiedBy>Shaswat Sharma</cp:lastModifiedBy>
</cp:coreProperties>
</file>